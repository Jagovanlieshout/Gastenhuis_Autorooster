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s\Werk\MKB Datalab\Overig\"/>
    </mc:Choice>
  </mc:AlternateContent>
  <xr:revisionPtr revIDLastSave="0" documentId="13_ncr:1_{E242541A-58B9-4F65-B9D1-FECC0C6BDAAB}" xr6:coauthVersionLast="47" xr6:coauthVersionMax="47" xr10:uidLastSave="{00000000-0000-0000-0000-000000000000}"/>
  <bookViews>
    <workbookView xWindow="-108" yWindow="-108" windowWidth="23256" windowHeight="12456" xr2:uid="{2CFAAF64-BD9E-47E1-BEBC-A56D85239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L29" i="1"/>
  <c r="L31" i="1"/>
  <c r="J46" i="1"/>
  <c r="J47" i="1"/>
  <c r="L32" i="1"/>
  <c r="L33" i="1"/>
  <c r="L34" i="1"/>
  <c r="L35" i="1"/>
  <c r="L36" i="1"/>
  <c r="L37" i="1"/>
  <c r="L38" i="1"/>
  <c r="L39" i="1"/>
  <c r="L40" i="1"/>
  <c r="L41" i="1"/>
  <c r="L42" i="1"/>
  <c r="I48" i="1" l="1"/>
  <c r="I46" i="1"/>
  <c r="J48" i="1"/>
  <c r="K50" i="1" s="1"/>
  <c r="I47" i="1"/>
  <c r="K43" i="1" l="1"/>
  <c r="K51" i="1" s="1"/>
</calcChain>
</file>

<file path=xl/sharedStrings.xml><?xml version="1.0" encoding="utf-8"?>
<sst xmlns="http://schemas.openxmlformats.org/spreadsheetml/2006/main" count="38" uniqueCount="34">
  <si>
    <t>KvK</t>
  </si>
  <si>
    <t>BTW</t>
  </si>
  <si>
    <t>IBAN</t>
  </si>
  <si>
    <t>BIC</t>
  </si>
  <si>
    <t>Factuur</t>
  </si>
  <si>
    <t>Factuurdatum:</t>
  </si>
  <si>
    <t>Factuurnummer:</t>
  </si>
  <si>
    <t>DATUM</t>
  </si>
  <si>
    <t>OMSCHRIJVING</t>
  </si>
  <si>
    <t>AANTAL</t>
  </si>
  <si>
    <t>PRIJS</t>
  </si>
  <si>
    <t>BEDRAG</t>
  </si>
  <si>
    <t>BTW TOTAAL</t>
  </si>
  <si>
    <t>BTW OVERZICHT</t>
  </si>
  <si>
    <t>-</t>
  </si>
  <si>
    <t>OVER</t>
  </si>
  <si>
    <t>UURTARIEF</t>
  </si>
  <si>
    <t>TOTAAL excl. BTW</t>
  </si>
  <si>
    <t>TOTAAL incl. BTW</t>
  </si>
  <si>
    <t>Technische Universiteit Eindhoven</t>
  </si>
  <si>
    <t>t.a.v. afdeling Factuuradministratie</t>
  </si>
  <si>
    <t>PO nummer:</t>
  </si>
  <si>
    <r>
      <t>[</t>
    </r>
    <r>
      <rPr>
        <sz val="11"/>
        <color rgb="FFFF0000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>]</t>
    </r>
  </si>
  <si>
    <t>Groene Loper 3</t>
  </si>
  <si>
    <t>5612 AG Eindhoven</t>
  </si>
  <si>
    <t>Nederland</t>
  </si>
  <si>
    <t>Jago Data Driven Solutions</t>
  </si>
  <si>
    <t>Hemelrijken 165, 5612LC Eindhoven</t>
  </si>
  <si>
    <t>jagovanlieshout@gmail.com</t>
  </si>
  <si>
    <t>NL004704640B74</t>
  </si>
  <si>
    <t xml:space="preserve">NL52 ASNB 0708 5081 11 </t>
  </si>
  <si>
    <t>ASNBNL21</t>
  </si>
  <si>
    <t>P10019689</t>
  </si>
  <si>
    <t>1 - Project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</si>
</sst>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&quot;€&quot;\ #,##0.00;\-0;;@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30"/>
      <color theme="1"/>
      <name val="Baskerville Old Face"/>
      <family val="1"/>
    </font>
    <font>
      <sz val="11"/>
      <color theme="1"/>
      <name val="Lucida Sans Unicode"/>
      <family val="2"/>
    </font>
    <font>
      <sz val="10"/>
      <color theme="1"/>
      <name val="Lucida Sans Unicode"/>
      <family val="2"/>
    </font>
    <font>
      <sz val="10"/>
      <color theme="0"/>
      <name val="Lucida Sans Unicode"/>
      <family val="2"/>
    </font>
    <font>
      <sz val="36"/>
      <color theme="1"/>
      <name val="Aparajita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20"/>
      <color rgb="FFFF0000"/>
      <name val="Aparajita"/>
      <family val="1"/>
    </font>
    <font>
      <sz val="20"/>
      <name val="Aparajita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449DD1"/>
        <bgColor indexed="64"/>
      </patternFill>
    </fill>
    <fill>
      <patternFill patternType="solid">
        <fgColor rgb="FF007EA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9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right"/>
    </xf>
    <xf numFmtId="9" fontId="0" fillId="0" borderId="3" xfId="0" applyNumberFormat="1" applyBorder="1" applyAlignment="1">
      <alignment horizontal="right"/>
    </xf>
    <xf numFmtId="0" fontId="0" fillId="2" borderId="0" xfId="0" applyFill="1"/>
    <xf numFmtId="9" fontId="0" fillId="2" borderId="0" xfId="0" applyNumberFormat="1" applyFill="1"/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2" borderId="0" xfId="0" applyNumberFormat="1" applyFill="1"/>
    <xf numFmtId="14" fontId="0" fillId="2" borderId="0" xfId="0" applyNumberFormat="1" applyFill="1" applyAlignment="1">
      <alignment horizontal="left"/>
    </xf>
    <xf numFmtId="165" fontId="0" fillId="2" borderId="0" xfId="0" applyNumberFormat="1" applyFill="1" applyAlignment="1">
      <alignment horizontal="right"/>
    </xf>
    <xf numFmtId="9" fontId="0" fillId="2" borderId="0" xfId="0" applyNumberFormat="1" applyFill="1" applyAlignment="1">
      <alignment horizontal="right"/>
    </xf>
    <xf numFmtId="0" fontId="4" fillId="0" borderId="1" xfId="0" applyFont="1" applyBorder="1" applyAlignment="1">
      <alignment horizontal="center"/>
    </xf>
    <xf numFmtId="0" fontId="0" fillId="0" borderId="3" xfId="0" applyBorder="1"/>
    <xf numFmtId="0" fontId="5" fillId="4" borderId="0" xfId="0" applyFont="1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left"/>
    </xf>
    <xf numFmtId="0" fontId="4" fillId="2" borderId="0" xfId="0" applyFont="1" applyFill="1"/>
    <xf numFmtId="0" fontId="4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0" fontId="6" fillId="0" borderId="0" xfId="0" applyFont="1" applyAlignment="1">
      <alignment horizontal="center" vertical="center"/>
    </xf>
    <xf numFmtId="0" fontId="4" fillId="3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3" xfId="0" applyBorder="1"/>
    <xf numFmtId="0" fontId="1" fillId="3" borderId="0" xfId="1" applyFill="1" applyAlignment="1">
      <alignment horizontal="right"/>
    </xf>
    <xf numFmtId="0" fontId="8" fillId="3" borderId="0" xfId="1" applyFont="1" applyFill="1" applyAlignment="1">
      <alignment horizontal="right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164" fontId="0" fillId="0" borderId="2" xfId="0" applyNumberFormat="1" applyBorder="1"/>
    <xf numFmtId="0" fontId="0" fillId="0" borderId="0" xfId="0" applyAlignment="1">
      <alignment horizontal="left"/>
    </xf>
    <xf numFmtId="0" fontId="4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7EA7"/>
      <color rgb="FF449DD1"/>
      <color rgb="FFA5402D"/>
      <color rgb="FF129191"/>
      <color rgb="FFD92F57"/>
      <color rgb="FFF27E1E"/>
      <color rgb="FFF9F9F9"/>
      <color rgb="FF2B2B2B"/>
      <color rgb="FF303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govanlieshou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9DA5-52C6-4052-A7B0-BAD1414772CA}">
  <dimension ref="A1:O54"/>
  <sheetViews>
    <sheetView tabSelected="1" view="pageLayout" topLeftCell="A8" zoomScaleNormal="100" workbookViewId="0">
      <selection activeCell="F24" sqref="F24:G24"/>
    </sheetView>
  </sheetViews>
  <sheetFormatPr defaultRowHeight="14.4" x14ac:dyDescent="0.3"/>
  <cols>
    <col min="1" max="1" width="1.6640625" customWidth="1"/>
    <col min="2" max="2" width="10.44140625" customWidth="1"/>
    <col min="5" max="5" width="8.6640625" customWidth="1"/>
    <col min="6" max="6" width="8" customWidth="1"/>
    <col min="7" max="7" width="6" customWidth="1"/>
    <col min="8" max="8" width="7.6640625" customWidth="1"/>
    <col min="9" max="9" width="10" customWidth="1"/>
    <col min="10" max="11" width="9.33203125" customWidth="1"/>
    <col min="12" max="12" width="9.44140625" customWidth="1"/>
    <col min="13" max="13" width="1.6640625" customWidth="1"/>
    <col min="16" max="16" width="4.33203125" customWidth="1"/>
  </cols>
  <sheetData>
    <row r="1" spans="1:12" ht="13.5" customHeight="1" x14ac:dyDescent="0.3"/>
    <row r="2" spans="1:12" x14ac:dyDescent="0.3">
      <c r="A2" s="35"/>
      <c r="B2" s="35"/>
      <c r="C2" s="35"/>
    </row>
    <row r="3" spans="1:12" x14ac:dyDescent="0.3">
      <c r="A3" s="35"/>
      <c r="B3" s="35"/>
      <c r="C3" s="35"/>
      <c r="H3" s="33" t="s">
        <v>26</v>
      </c>
      <c r="I3" s="34"/>
      <c r="J3" s="34"/>
      <c r="K3" s="34"/>
    </row>
    <row r="4" spans="1:12" x14ac:dyDescent="0.3">
      <c r="A4" s="35"/>
      <c r="B4" s="35"/>
      <c r="C4" s="35"/>
      <c r="H4" s="34"/>
      <c r="I4" s="34"/>
      <c r="J4" s="34"/>
      <c r="K4" s="34"/>
    </row>
    <row r="5" spans="1:12" x14ac:dyDescent="0.3">
      <c r="A5" s="35"/>
      <c r="B5" s="35"/>
      <c r="C5" s="35"/>
    </row>
    <row r="6" spans="1:12" x14ac:dyDescent="0.3">
      <c r="A6" s="35"/>
      <c r="B6" s="35"/>
      <c r="C6" s="35"/>
    </row>
    <row r="7" spans="1:12" ht="22.5" customHeight="1" x14ac:dyDescent="0.3">
      <c r="A7" s="35"/>
      <c r="B7" s="35"/>
      <c r="C7" s="35"/>
    </row>
    <row r="8" spans="1:12" x14ac:dyDescent="0.3">
      <c r="A8" s="35"/>
      <c r="B8" s="35"/>
      <c r="C8" s="35"/>
      <c r="H8" s="30" t="s">
        <v>0</v>
      </c>
      <c r="I8" s="39">
        <v>89207114</v>
      </c>
      <c r="J8" s="39"/>
      <c r="K8" s="39"/>
      <c r="L8" s="39"/>
    </row>
    <row r="9" spans="1:12" ht="14.25" customHeight="1" x14ac:dyDescent="0.3">
      <c r="A9" s="35"/>
      <c r="B9" s="35"/>
      <c r="C9" s="35"/>
      <c r="H9" s="30" t="s">
        <v>1</v>
      </c>
      <c r="I9" s="39" t="s">
        <v>29</v>
      </c>
      <c r="J9" s="39"/>
      <c r="K9" s="39"/>
      <c r="L9" s="39"/>
    </row>
    <row r="10" spans="1:12" x14ac:dyDescent="0.3">
      <c r="H10" s="30" t="s">
        <v>2</v>
      </c>
      <c r="I10" s="39" t="s">
        <v>30</v>
      </c>
      <c r="J10" s="39"/>
      <c r="K10" s="39"/>
      <c r="L10" s="39"/>
    </row>
    <row r="11" spans="1:12" x14ac:dyDescent="0.3">
      <c r="H11" s="30" t="s">
        <v>3</v>
      </c>
      <c r="I11" s="39" t="s">
        <v>31</v>
      </c>
      <c r="J11" s="39"/>
      <c r="K11" s="39"/>
      <c r="L11" s="39"/>
    </row>
    <row r="12" spans="1:12" x14ac:dyDescent="0.3">
      <c r="H12" s="5"/>
      <c r="I12" s="40"/>
      <c r="J12" s="40"/>
      <c r="K12" s="40"/>
      <c r="L12" s="40"/>
    </row>
    <row r="13" spans="1:12" x14ac:dyDescent="0.3">
      <c r="C13" s="4" t="s">
        <v>19</v>
      </c>
      <c r="H13" s="26"/>
      <c r="I13" s="39" t="s">
        <v>27</v>
      </c>
      <c r="J13" s="39"/>
      <c r="K13" s="39"/>
      <c r="L13" s="39"/>
    </row>
    <row r="14" spans="1:12" x14ac:dyDescent="0.3">
      <c r="C14" s="4" t="s">
        <v>20</v>
      </c>
      <c r="H14" s="26"/>
      <c r="I14" s="39">
        <v>630769766</v>
      </c>
      <c r="J14" s="39"/>
      <c r="K14" s="39"/>
      <c r="L14" s="39"/>
    </row>
    <row r="15" spans="1:12" x14ac:dyDescent="0.3">
      <c r="C15" s="4" t="s">
        <v>23</v>
      </c>
      <c r="H15" s="26"/>
      <c r="I15" s="43" t="s">
        <v>28</v>
      </c>
      <c r="J15" s="44"/>
      <c r="K15" s="44"/>
      <c r="L15" s="44"/>
    </row>
    <row r="16" spans="1:12" x14ac:dyDescent="0.3">
      <c r="C16" s="4" t="s">
        <v>24</v>
      </c>
    </row>
    <row r="17" spans="1:15" x14ac:dyDescent="0.3">
      <c r="C17" s="4" t="s">
        <v>25</v>
      </c>
    </row>
    <row r="19" spans="1:15" ht="7.5" customHeight="1" x14ac:dyDescent="0.3"/>
    <row r="20" spans="1:15" ht="15" customHeight="1" x14ac:dyDescent="0.3">
      <c r="J20" s="38" t="s">
        <v>4</v>
      </c>
      <c r="K20" s="38"/>
      <c r="M20" s="2"/>
      <c r="N20" s="2"/>
      <c r="O20" s="2"/>
    </row>
    <row r="21" spans="1:15" ht="15" customHeight="1" x14ac:dyDescent="0.3">
      <c r="J21" s="38"/>
      <c r="K21" s="38"/>
      <c r="M21" s="2"/>
      <c r="N21" s="2"/>
      <c r="O21" s="2"/>
    </row>
    <row r="22" spans="1:15" ht="7.5" customHeight="1" x14ac:dyDescent="0.3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1"/>
    </row>
    <row r="23" spans="1:15" x14ac:dyDescent="0.3">
      <c r="A23" s="16"/>
      <c r="B23" s="16"/>
      <c r="C23" s="31" t="s">
        <v>5</v>
      </c>
      <c r="D23" s="16"/>
      <c r="E23" s="16"/>
      <c r="F23" s="31" t="s">
        <v>6</v>
      </c>
      <c r="G23" s="16"/>
      <c r="H23" s="16"/>
      <c r="I23" s="16"/>
      <c r="J23" s="31" t="s">
        <v>21</v>
      </c>
      <c r="K23" s="16"/>
      <c r="L23" s="16"/>
    </row>
    <row r="24" spans="1:15" x14ac:dyDescent="0.3">
      <c r="C24" s="46">
        <f ca="1">TODAY()</f>
        <v>45435</v>
      </c>
      <c r="D24" s="45"/>
      <c r="F24" s="45">
        <v>202401</v>
      </c>
      <c r="G24" s="45"/>
      <c r="J24" t="s">
        <v>32</v>
      </c>
    </row>
    <row r="25" spans="1:15" ht="7.5" customHeight="1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  <c r="M25" s="1"/>
    </row>
    <row r="27" spans="1:15" x14ac:dyDescent="0.3">
      <c r="B27" s="3"/>
    </row>
    <row r="28" spans="1:15" x14ac:dyDescent="0.3">
      <c r="B28" s="9" t="s">
        <v>7</v>
      </c>
      <c r="C28" s="11" t="s">
        <v>8</v>
      </c>
      <c r="D28" s="11"/>
      <c r="E28" s="11"/>
      <c r="F28" s="11"/>
      <c r="G28" s="11"/>
      <c r="H28" s="24" t="s">
        <v>9</v>
      </c>
      <c r="I28" s="9" t="s">
        <v>16</v>
      </c>
      <c r="J28" s="10" t="s">
        <v>10</v>
      </c>
      <c r="K28" s="10" t="s">
        <v>1</v>
      </c>
      <c r="L28" s="10" t="s">
        <v>11</v>
      </c>
    </row>
    <row r="29" spans="1:15" x14ac:dyDescent="0.3">
      <c r="B29" s="7" t="s">
        <v>22</v>
      </c>
      <c r="C29" s="36" t="s">
        <v>33</v>
      </c>
      <c r="D29" s="36"/>
      <c r="E29" s="36"/>
      <c r="F29" s="36"/>
      <c r="H29" s="1">
        <v>1</v>
      </c>
      <c r="I29" s="1"/>
      <c r="J29" s="8">
        <v>1400</v>
      </c>
      <c r="K29" s="6">
        <v>0.21</v>
      </c>
      <c r="L29" s="8">
        <f>IF(H29&gt;0,H29*J29*(1+K29),J29*(1+K29))</f>
        <v>1694</v>
      </c>
    </row>
    <row r="31" spans="1:15" x14ac:dyDescent="0.3">
      <c r="B31" s="21"/>
      <c r="C31" s="37"/>
      <c r="D31" s="37"/>
      <c r="E31" s="37"/>
      <c r="F31" s="37"/>
      <c r="G31" s="16"/>
      <c r="H31" s="18"/>
      <c r="I31" s="18"/>
      <c r="J31" s="22"/>
      <c r="K31" s="23"/>
      <c r="L31" s="22">
        <f t="shared" ref="L31:L42" si="0">IF(H31&gt;0,H31*J31*(1+K31),J31*(1+K31))</f>
        <v>0</v>
      </c>
    </row>
    <row r="32" spans="1:15" x14ac:dyDescent="0.3">
      <c r="B32" s="7"/>
      <c r="C32" s="36"/>
      <c r="D32" s="36"/>
      <c r="E32" s="36"/>
      <c r="F32" s="36"/>
      <c r="H32" s="1"/>
      <c r="I32" s="1"/>
      <c r="J32" s="8"/>
      <c r="K32" s="6"/>
      <c r="L32" s="8">
        <f t="shared" si="0"/>
        <v>0</v>
      </c>
    </row>
    <row r="33" spans="2:12" x14ac:dyDescent="0.3">
      <c r="B33" s="21"/>
      <c r="C33" s="37"/>
      <c r="D33" s="37"/>
      <c r="E33" s="37"/>
      <c r="F33" s="37"/>
      <c r="G33" s="16"/>
      <c r="H33" s="18"/>
      <c r="I33" s="18"/>
      <c r="J33" s="22"/>
      <c r="K33" s="23"/>
      <c r="L33" s="22">
        <f t="shared" si="0"/>
        <v>0</v>
      </c>
    </row>
    <row r="34" spans="2:12" x14ac:dyDescent="0.3">
      <c r="B34" s="7"/>
      <c r="C34" s="36"/>
      <c r="D34" s="36"/>
      <c r="E34" s="36"/>
      <c r="F34" s="36"/>
      <c r="H34" s="1"/>
      <c r="I34" s="1"/>
      <c r="J34" s="8"/>
      <c r="K34" s="6"/>
      <c r="L34" s="8">
        <f t="shared" si="0"/>
        <v>0</v>
      </c>
    </row>
    <row r="35" spans="2:12" x14ac:dyDescent="0.3">
      <c r="B35" s="21"/>
      <c r="C35" s="37"/>
      <c r="D35" s="37"/>
      <c r="E35" s="37"/>
      <c r="F35" s="37"/>
      <c r="G35" s="16"/>
      <c r="H35" s="18"/>
      <c r="I35" s="18"/>
      <c r="J35" s="22"/>
      <c r="K35" s="23"/>
      <c r="L35" s="22">
        <f t="shared" si="0"/>
        <v>0</v>
      </c>
    </row>
    <row r="36" spans="2:12" x14ac:dyDescent="0.3">
      <c r="B36" s="7"/>
      <c r="C36" s="36"/>
      <c r="D36" s="36"/>
      <c r="E36" s="36"/>
      <c r="F36" s="36"/>
      <c r="H36" s="1"/>
      <c r="I36" s="1"/>
      <c r="J36" s="8"/>
      <c r="K36" s="6"/>
      <c r="L36" s="8">
        <f t="shared" si="0"/>
        <v>0</v>
      </c>
    </row>
    <row r="37" spans="2:12" x14ac:dyDescent="0.3">
      <c r="B37" s="21"/>
      <c r="C37" s="37"/>
      <c r="D37" s="37"/>
      <c r="E37" s="37"/>
      <c r="F37" s="37"/>
      <c r="G37" s="16"/>
      <c r="H37" s="18"/>
      <c r="I37" s="18"/>
      <c r="J37" s="22"/>
      <c r="K37" s="23"/>
      <c r="L37" s="22">
        <f t="shared" si="0"/>
        <v>0</v>
      </c>
    </row>
    <row r="38" spans="2:12" x14ac:dyDescent="0.3">
      <c r="B38" s="7"/>
      <c r="C38" s="36"/>
      <c r="D38" s="36"/>
      <c r="E38" s="36"/>
      <c r="F38" s="36"/>
      <c r="H38" s="1"/>
      <c r="I38" s="1"/>
      <c r="J38" s="8"/>
      <c r="K38" s="6"/>
      <c r="L38" s="8">
        <f t="shared" si="0"/>
        <v>0</v>
      </c>
    </row>
    <row r="39" spans="2:12" x14ac:dyDescent="0.3">
      <c r="B39" s="21"/>
      <c r="C39" s="37"/>
      <c r="D39" s="37"/>
      <c r="E39" s="37"/>
      <c r="F39" s="37"/>
      <c r="G39" s="16"/>
      <c r="H39" s="18"/>
      <c r="I39" s="18"/>
      <c r="J39" s="22"/>
      <c r="K39" s="23"/>
      <c r="L39" s="22">
        <f t="shared" si="0"/>
        <v>0</v>
      </c>
    </row>
    <row r="40" spans="2:12" x14ac:dyDescent="0.3">
      <c r="B40" s="7"/>
      <c r="C40" s="36"/>
      <c r="D40" s="36"/>
      <c r="E40" s="36"/>
      <c r="F40" s="36"/>
      <c r="H40" s="1"/>
      <c r="I40" s="1"/>
      <c r="J40" s="8"/>
      <c r="K40" s="6"/>
      <c r="L40" s="8">
        <f t="shared" si="0"/>
        <v>0</v>
      </c>
    </row>
    <row r="41" spans="2:12" x14ac:dyDescent="0.3">
      <c r="B41" s="21"/>
      <c r="C41" s="37"/>
      <c r="D41" s="37"/>
      <c r="E41" s="37"/>
      <c r="F41" s="37"/>
      <c r="G41" s="16"/>
      <c r="H41" s="18"/>
      <c r="I41" s="18"/>
      <c r="J41" s="22"/>
      <c r="K41" s="23"/>
      <c r="L41" s="22">
        <f t="shared" si="0"/>
        <v>0</v>
      </c>
    </row>
    <row r="42" spans="2:12" ht="15" thickBot="1" x14ac:dyDescent="0.35">
      <c r="B42" s="12"/>
      <c r="C42" s="42"/>
      <c r="D42" s="42"/>
      <c r="E42" s="42"/>
      <c r="F42" s="42"/>
      <c r="G42" s="25"/>
      <c r="H42" s="13"/>
      <c r="I42" s="13"/>
      <c r="J42" s="14"/>
      <c r="K42" s="15"/>
      <c r="L42" s="14">
        <f t="shared" si="0"/>
        <v>0</v>
      </c>
    </row>
    <row r="43" spans="2:12" x14ac:dyDescent="0.3">
      <c r="B43" s="32" t="s">
        <v>17</v>
      </c>
      <c r="C43" s="32"/>
      <c r="D43" s="32"/>
      <c r="E43" s="32"/>
      <c r="F43" s="32"/>
      <c r="G43" s="32"/>
      <c r="H43" s="32"/>
      <c r="I43" s="32"/>
      <c r="J43" s="32"/>
      <c r="K43" s="41">
        <f>SUM(I46:I48)-SUM(J46:J48)</f>
        <v>1400</v>
      </c>
      <c r="L43" s="41"/>
    </row>
    <row r="44" spans="2:12" x14ac:dyDescent="0.3">
      <c r="B44" s="7"/>
      <c r="C44" s="48"/>
      <c r="D44" s="48"/>
      <c r="E44" s="48"/>
      <c r="F44" s="48"/>
      <c r="G44" s="48"/>
      <c r="H44" s="1"/>
      <c r="I44" s="1"/>
      <c r="J44" s="8"/>
      <c r="K44" s="6"/>
      <c r="L44" s="8"/>
    </row>
    <row r="45" spans="2:12" x14ac:dyDescent="0.3">
      <c r="C45" s="16" t="s">
        <v>13</v>
      </c>
      <c r="D45" s="16"/>
      <c r="E45" s="16"/>
      <c r="F45" s="16"/>
      <c r="G45" s="16"/>
      <c r="H45" s="16"/>
      <c r="I45" s="18" t="s">
        <v>15</v>
      </c>
      <c r="J45" s="18" t="s">
        <v>11</v>
      </c>
    </row>
    <row r="46" spans="2:12" x14ac:dyDescent="0.3">
      <c r="C46" s="16"/>
      <c r="D46" s="16"/>
      <c r="E46" s="16"/>
      <c r="F46" s="16"/>
      <c r="G46" s="17">
        <v>0</v>
      </c>
      <c r="H46" s="18" t="s">
        <v>14</v>
      </c>
      <c r="I46" s="19">
        <f>SUMIFS(L29:L42,K29:K42,"=0,00")</f>
        <v>0</v>
      </c>
      <c r="J46" s="20">
        <f>0</f>
        <v>0</v>
      </c>
    </row>
    <row r="47" spans="2:12" x14ac:dyDescent="0.3">
      <c r="C47" s="16"/>
      <c r="D47" s="16"/>
      <c r="E47" s="16"/>
      <c r="F47" s="16"/>
      <c r="G47" s="17">
        <v>0.09</v>
      </c>
      <c r="H47" s="18" t="s">
        <v>14</v>
      </c>
      <c r="I47" s="19">
        <f>SUMIFS(L29:L42,K29:K42,"=0,09")</f>
        <v>0</v>
      </c>
      <c r="J47" s="20">
        <f>SUMIFS(L29:L42,K29:K42,"=0,09")-SUMIFS(L29:L42,K29:K42,"=0,09")/1.09</f>
        <v>0</v>
      </c>
    </row>
    <row r="48" spans="2:12" x14ac:dyDescent="0.3">
      <c r="C48" s="16"/>
      <c r="D48" s="16"/>
      <c r="E48" s="16"/>
      <c r="F48" s="16"/>
      <c r="G48" s="17">
        <v>0.21</v>
      </c>
      <c r="H48" s="18" t="s">
        <v>14</v>
      </c>
      <c r="I48" s="19">
        <f>SUMIFS(L29:L42,K29:K42,"=0,21")</f>
        <v>1694</v>
      </c>
      <c r="J48" s="20">
        <f>SUMIFS(L29:L42,K29:K42,"=0,21")-SUMIFS(L29:L42,K29:K42,"=0,21")/1.21</f>
        <v>294</v>
      </c>
    </row>
    <row r="50" spans="2:12" ht="15" thickBot="1" x14ac:dyDescent="0.35">
      <c r="B50" s="49" t="s">
        <v>12</v>
      </c>
      <c r="C50" s="49"/>
      <c r="D50" s="49"/>
      <c r="E50" s="49"/>
      <c r="F50" s="49"/>
      <c r="G50" s="49"/>
      <c r="H50" s="49"/>
      <c r="I50" s="49"/>
      <c r="J50" s="49"/>
      <c r="K50" s="47">
        <f>SUM(J46:J48)</f>
        <v>294</v>
      </c>
      <c r="L50" s="47"/>
    </row>
    <row r="51" spans="2:12" ht="15" thickTop="1" x14ac:dyDescent="0.3">
      <c r="B51" s="40" t="s">
        <v>18</v>
      </c>
      <c r="C51" s="40"/>
      <c r="D51" s="40"/>
      <c r="E51" s="40"/>
      <c r="F51" s="40"/>
      <c r="G51" s="40"/>
      <c r="H51" s="40"/>
      <c r="I51" s="40"/>
      <c r="J51" s="40"/>
      <c r="K51" s="41">
        <f>K43+K50</f>
        <v>1694</v>
      </c>
      <c r="L51" s="41"/>
    </row>
    <row r="54" spans="2:12" ht="12.75" customHeight="1" x14ac:dyDescent="0.3"/>
  </sheetData>
  <mergeCells count="33">
    <mergeCell ref="K51:L51"/>
    <mergeCell ref="K50:L50"/>
    <mergeCell ref="C44:G44"/>
    <mergeCell ref="B50:J50"/>
    <mergeCell ref="B51:J51"/>
    <mergeCell ref="C40:F40"/>
    <mergeCell ref="C41:F41"/>
    <mergeCell ref="C33:F33"/>
    <mergeCell ref="C42:F42"/>
    <mergeCell ref="I15:L15"/>
    <mergeCell ref="F24:G24"/>
    <mergeCell ref="C24:D24"/>
    <mergeCell ref="C35:F35"/>
    <mergeCell ref="C36:F36"/>
    <mergeCell ref="C37:F37"/>
    <mergeCell ref="C38:F38"/>
    <mergeCell ref="C39:F39"/>
    <mergeCell ref="B43:J43"/>
    <mergeCell ref="H3:K4"/>
    <mergeCell ref="A2:C9"/>
    <mergeCell ref="C29:F29"/>
    <mergeCell ref="C31:F31"/>
    <mergeCell ref="C32:F32"/>
    <mergeCell ref="J20:K21"/>
    <mergeCell ref="I8:L8"/>
    <mergeCell ref="I9:L9"/>
    <mergeCell ref="I10:L10"/>
    <mergeCell ref="I11:L11"/>
    <mergeCell ref="I12:L12"/>
    <mergeCell ref="I13:L13"/>
    <mergeCell ref="I14:L14"/>
    <mergeCell ref="K43:L43"/>
    <mergeCell ref="C34:F34"/>
  </mergeCells>
  <hyperlinks>
    <hyperlink ref="I15" r:id="rId1" xr:uid="{6367CDDD-4C11-4C48-BB2A-7578E353FA46}"/>
  </hyperlinks>
  <pageMargins left="0" right="0" top="0" bottom="1.09375" header="0" footer="0.31496062992125984"/>
  <pageSetup paperSize="9" orientation="portrait" r:id="rId2"/>
  <headerFooter>
    <oddFooter>&amp;L&amp;"Lucida Sans Unicode,Italic"&amp;9U wordt verzocht het totaalbedrag binnen 30 dagen over te maken op bovenstaand IBAN o.v.v. bovenstaand factuurnummer t.n.v. J.D. van Lieshout.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Jago</cp:lastModifiedBy>
  <cp:lastPrinted>2020-03-29T10:02:11Z</cp:lastPrinted>
  <dcterms:created xsi:type="dcterms:W3CDTF">2020-03-28T20:19:49Z</dcterms:created>
  <dcterms:modified xsi:type="dcterms:W3CDTF">2024-05-23T08:30:00Z</dcterms:modified>
</cp:coreProperties>
</file>